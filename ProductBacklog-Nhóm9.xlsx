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56b0bd444409d08/Máy tính/"/>
    </mc:Choice>
  </mc:AlternateContent>
  <xr:revisionPtr revIDLastSave="222" documentId="13_ncr:1_{43D9BD3D-2371-406E-A882-27AC266ADBD6}" xr6:coauthVersionLast="47" xr6:coauthVersionMax="47" xr10:uidLastSave="{FD929545-6B8A-4E44-827E-4544D353C9DC}"/>
  <bookViews>
    <workbookView xWindow="-108" yWindow="-108" windowWidth="23256" windowHeight="12456" tabRatio="798" activeTab="3" xr2:uid="{00000000-000D-0000-FFFF-FFFF00000000}"/>
  </bookViews>
  <sheets>
    <sheet name="Project Information" sheetId="7" r:id="rId1"/>
    <sheet name="Team" sheetId="4" r:id="rId2"/>
    <sheet name="Product backlog" sheetId="1" r:id="rId3"/>
    <sheet name="Sprint backlog" sheetId="6" r:id="rId4"/>
    <sheet name="PERT " sheetId="8" r:id="rId5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6" l="1"/>
</calcChain>
</file>

<file path=xl/sharedStrings.xml><?xml version="1.0" encoding="utf-8"?>
<sst xmlns="http://schemas.openxmlformats.org/spreadsheetml/2006/main" count="242" uniqueCount="173">
  <si>
    <t>I. Requirements</t>
  </si>
  <si>
    <t>TEAM DEVELOPMENT STRUCTURE</t>
  </si>
  <si>
    <t>No.</t>
  </si>
  <si>
    <t>Name</t>
  </si>
  <si>
    <t>Account</t>
  </si>
  <si>
    <t>Roles</t>
  </si>
  <si>
    <t>DateStart</t>
  </si>
  <si>
    <t>Date End</t>
  </si>
  <si>
    <t>E-COMMERCE PROJECT - PRODUCT BACKLOG</t>
  </si>
  <si>
    <t>Story ID</t>
  </si>
  <si>
    <t>Story Name</t>
  </si>
  <si>
    <t>Points</t>
  </si>
  <si>
    <t>E-COMMERCE PROJECT - SPRINT BACKLOG</t>
  </si>
  <si>
    <t>Name Of Dev</t>
  </si>
  <si>
    <t>Start Date</t>
  </si>
  <si>
    <t>Endate</t>
  </si>
  <si>
    <t>Act Start Date</t>
  </si>
  <si>
    <t>ActEndate</t>
  </si>
  <si>
    <t>Act Points</t>
  </si>
  <si>
    <t>Notes</t>
  </si>
  <si>
    <t>Sprint 1</t>
  </si>
  <si>
    <t>Đặng Duy An</t>
  </si>
  <si>
    <t>Hoàng Văn Nam</t>
  </si>
  <si>
    <t>Dương Lâm Tuấn Anh</t>
  </si>
  <si>
    <t>TuanAnhAz123</t>
  </si>
  <si>
    <t>NamHaong</t>
  </si>
  <si>
    <t>Phạm Nguyễn Hoàng Phúc</t>
  </si>
  <si>
    <t>Nguyễn Anh Tuấn</t>
  </si>
  <si>
    <t>anhtuan308</t>
  </si>
  <si>
    <t>Tsằn Hiền Đức</t>
  </si>
  <si>
    <t>duchien1231-bit</t>
  </si>
  <si>
    <t>dangduyan96-web</t>
  </si>
  <si>
    <t>Saigoz</t>
  </si>
  <si>
    <t>Actor: Khách vãng lai (Guest User)</t>
  </si>
  <si>
    <t>US01</t>
  </si>
  <si>
    <t>US02</t>
  </si>
  <si>
    <t>US03</t>
  </si>
  <si>
    <t>US04</t>
  </si>
  <si>
    <t>US05</t>
  </si>
  <si>
    <t>Xem trang chủ &amp; danh mục</t>
  </si>
  <si>
    <t>Tìm kiếm truyện</t>
  </si>
  <si>
    <t>Xem chi tiết truyện</t>
  </si>
  <si>
    <t>Đọc chương miễn phí</t>
  </si>
  <si>
    <t>Đăng ký tài khoản</t>
  </si>
  <si>
    <t>Actor: Thành viên (Member / Reader)</t>
  </si>
  <si>
    <t>US06</t>
  </si>
  <si>
    <t>US07</t>
  </si>
  <si>
    <t>US08</t>
  </si>
  <si>
    <t>US09</t>
  </si>
  <si>
    <t>US10</t>
  </si>
  <si>
    <t>US11</t>
  </si>
  <si>
    <t>US12</t>
  </si>
  <si>
    <t>Đăng nhập / Đăng xuất</t>
  </si>
  <si>
    <t>Đăng ký gói đọc theo tháng</t>
  </si>
  <si>
    <t>Mua lẻ từng bộ truyện</t>
  </si>
  <si>
    <t>Lưu tiến độ đọc</t>
  </si>
  <si>
    <t>Theo dõi truyện yêu thích</t>
  </si>
  <si>
    <t>Thảo luận / Bình luận</t>
  </si>
  <si>
    <t>Lịch sử giao dịch</t>
  </si>
  <si>
    <t>Actor: Quản trị viên (Admin)</t>
  </si>
  <si>
    <t>US13</t>
  </si>
  <si>
    <t>US14</t>
  </si>
  <si>
    <t>US15</t>
  </si>
  <si>
    <t>US16</t>
  </si>
  <si>
    <t>US17</t>
  </si>
  <si>
    <t>US18</t>
  </si>
  <si>
    <t>US19</t>
  </si>
  <si>
    <t>US20</t>
  </si>
  <si>
    <t>Quản lý truyện &amp; thể loại</t>
  </si>
  <si>
    <t>Quản lý chương truyện</t>
  </si>
  <si>
    <t>Thiết lập chính sách giá</t>
  </si>
  <si>
    <t>Quản lý gói cước tháng</t>
  </si>
  <si>
    <t>Kiểm duyệt thảo luận</t>
  </si>
  <si>
    <t>Quản lý người dùng</t>
  </si>
  <si>
    <t>Thống kê lượt đọc &amp; tương tác</t>
  </si>
  <si>
    <t>Thống kê doanh thu</t>
  </si>
  <si>
    <t>Dev</t>
  </si>
  <si>
    <t>Quản lý truyện và thể loại</t>
  </si>
  <si>
    <t>Duy An</t>
  </si>
  <si>
    <t>Văn Nam</t>
  </si>
  <si>
    <t>Hoàng Phúc</t>
  </si>
  <si>
    <t>Hiền Đức</t>
  </si>
  <si>
    <t>Anh Tuấn</t>
  </si>
  <si>
    <t>Tuấn Anh</t>
  </si>
  <si>
    <t>Bảng công việc xây dựng web đọc truyện</t>
  </si>
  <si>
    <t xml:space="preserve">Mã </t>
  </si>
  <si>
    <t>Thời gian</t>
  </si>
  <si>
    <t xml:space="preserve">Công việc trước </t>
  </si>
  <si>
    <t xml:space="preserve">Công việc </t>
  </si>
  <si>
    <t>A</t>
  </si>
  <si>
    <t xml:space="preserve">B </t>
  </si>
  <si>
    <t>C</t>
  </si>
  <si>
    <t>D</t>
  </si>
  <si>
    <t>E</t>
  </si>
  <si>
    <t>F</t>
  </si>
  <si>
    <t>G</t>
  </si>
  <si>
    <t>H</t>
  </si>
  <si>
    <t>Phân tích yêu cầu &amp; Mô hình hóa</t>
  </si>
  <si>
    <t>Thiết kế UI/UX (Web &amp; Mobile App)</t>
  </si>
  <si>
    <t>Thiết kế cơ sở dữ liệu (Database Design)</t>
  </si>
  <si>
    <t>Lập trình Front-end (Web &amp; Mobile App)</t>
  </si>
  <si>
    <t>Lập trình Back-end RESTful API</t>
  </si>
  <si>
    <t>Tích hợp hệ thống &amp; Payment Gateway</t>
  </si>
  <si>
    <t>Kiểm thử hệ thống (QA/QC &amp; Bug Fix)</t>
  </si>
  <si>
    <t>Triển khai (Deployment), UAT &amp; Nghiệm thu</t>
  </si>
  <si>
    <t xml:space="preserve">C </t>
  </si>
  <si>
    <t>D, E</t>
  </si>
  <si>
    <t>-</t>
  </si>
  <si>
    <t xml:space="preserve">Đường 1: </t>
  </si>
  <si>
    <t>A -&gt; B -&gt; D -&gt; F -&gt; G -&gt; H</t>
  </si>
  <si>
    <t xml:space="preserve">Thời gian: </t>
  </si>
  <si>
    <t xml:space="preserve">Đường 2: </t>
  </si>
  <si>
    <t>Và</t>
  </si>
  <si>
    <t>A -&gt; C -&gt; E -&gt; F -&gt; G -&gt; H</t>
  </si>
  <si>
    <t>Vậy Project này có hai Critical Paths</t>
  </si>
  <si>
    <t>01/12/2026</t>
  </si>
  <si>
    <t>Đã hoàn thành UI &amp; CSDL</t>
  </si>
  <si>
    <t>Tìm kiếm theo tên, thể loại</t>
  </si>
  <si>
    <t>Đã nối API chi tiết</t>
  </si>
  <si>
    <t>Xác thực thông tin</t>
  </si>
  <si>
    <t>Sử dụng JWT Token</t>
  </si>
  <si>
    <t>CRUD Truyện &amp; Thể loại</t>
  </si>
  <si>
    <t>Tổng</t>
  </si>
  <si>
    <t>5 ngày</t>
  </si>
  <si>
    <t>8 ngày</t>
  </si>
  <si>
    <t>19 ngày</t>
  </si>
  <si>
    <t>22 ngày</t>
  </si>
  <si>
    <t>11 ngày</t>
  </si>
  <si>
    <t>14 ngày</t>
  </si>
  <si>
    <t>5 + 8 + 19 + 8 + 11 + 14 = 65 ngày</t>
  </si>
  <si>
    <t xml:space="preserve">Hai đường đều dài 65 ngày </t>
  </si>
  <si>
    <t>5 + 5 + 22 + 8 + 11 + 14 = 65 ngày</t>
  </si>
  <si>
    <t>28/09/2026</t>
  </si>
  <si>
    <t xml:space="preserve"> Team Lead / Dev</t>
  </si>
  <si>
    <r>
      <t xml:space="preserve">• </t>
    </r>
    <r>
      <rPr>
        <b/>
        <sz val="10"/>
        <rFont val="Arial"/>
        <family val="2"/>
      </rPr>
      <t>Sheet Team:</t>
    </r>
    <r>
      <rPr>
        <sz val="10"/>
        <rFont val="Arial"/>
        <family val="2"/>
      </rPr>
      <t xml:space="preserve"> Cấu trúc nhân sự nhóm và vai trò (PO, Scrum Master, Lead, Dev, Tester)</t>
    </r>
  </si>
  <si>
    <r>
      <t xml:space="preserve">• </t>
    </r>
    <r>
      <rPr>
        <b/>
        <sz val="10"/>
        <rFont val="Arial"/>
        <family val="2"/>
      </rPr>
      <t>Sheet Product backlog:</t>
    </r>
    <r>
      <rPr>
        <sz val="10"/>
        <rFont val="Arial"/>
        <family val="2"/>
      </rPr>
      <t xml:space="preserve"> Danh sách User Stories chi tiết theo các Actor kèm Story Points</t>
    </r>
  </si>
  <si>
    <r>
      <t xml:space="preserve">• </t>
    </r>
    <r>
      <rPr>
        <b/>
        <sz val="10"/>
        <rFont val="Arial"/>
        <family val="2"/>
      </rPr>
      <t>Sheet Sprint backlog:</t>
    </r>
    <r>
      <rPr>
        <sz val="10"/>
        <rFont val="Arial"/>
        <family val="2"/>
      </rPr>
      <t xml:space="preserve"> Phân chia User Stories vào từng Sprint phát triển cụ thể</t>
    </r>
  </si>
  <si>
    <r>
      <t>1. Tên dự án:</t>
    </r>
    <r>
      <rPr>
        <sz val="10"/>
        <rFont val="Arial"/>
        <family val="2"/>
      </rPr>
      <t xml:space="preserve"> Hệ thống Quản lý Đọc truyện (Comic Management System)</t>
    </r>
  </si>
  <si>
    <r>
      <t>2. Môn học:</t>
    </r>
    <r>
      <rPr>
        <sz val="10"/>
        <rFont val="Arial"/>
        <family val="2"/>
      </rPr>
      <t xml:space="preserve"> Công nghệ phần mềm nâng cao</t>
    </r>
  </si>
  <si>
    <r>
      <t>3. Kiến trúc hệ thống:</t>
    </r>
    <r>
      <rPr>
        <sz val="10"/>
        <rFont val="Arial"/>
        <family val="2"/>
      </rPr>
      <t xml:space="preserve"> Client - Server (Backend RESTful API kết nối Web App &amp; Mobile App)</t>
    </r>
  </si>
  <si>
    <t>4. Luồng nghiệp vụ chính:</t>
  </si>
  <si>
    <t>• Quản lý Nội dung: Tạo/chỉnh sửa bộ truyện, phân loại thể loại, đăng tải/lên lịch phát hành các chương (chapter).</t>
  </si>
  <si>
    <t>• Phân quyền &amp; Giá cước: Đặt trạng thái Truyện/Chương miễn phí hoặc trả phí; thiết lập mua lẻ từng truyện hoặc gói đọc theo tháng.</t>
  </si>
  <si>
    <t>• Trải nghiệm Độc giả: Tìm kiếm, duyệt danh mục, đọc chương, lưu tiến độ đọc, đánh giá/bình luận theo chương, theo dõi truyện yêu thích.</t>
  </si>
  <si>
    <t>• Quản trị &amp; Báo cáo: Kiểm duyệt bình luận/spam, quản lý tài khoản thành viên, thống kê lượt đọc và báo cáo doanh thu chi tiết.</t>
  </si>
  <si>
    <t>II. Deliverables (Sản phẩm bàn giao trong file)</t>
  </si>
  <si>
    <r>
      <t xml:space="preserve">• </t>
    </r>
    <r>
      <rPr>
        <b/>
        <sz val="10"/>
        <rFont val="Arial"/>
        <family val="2"/>
      </rPr>
      <t>Sheet PERT:</t>
    </r>
    <r>
      <rPr>
        <sz val="10"/>
        <rFont val="Arial"/>
        <family val="2"/>
      </rPr>
      <t xml:space="preserve"> Sơ đồ/Bảng ước tính thời gian thực hiện các tác vụ theo mô hình PERT</t>
    </r>
  </si>
  <si>
    <t>Khuyến mại &amp; Mã giảm giá (Voucher / Coupon)</t>
  </si>
  <si>
    <t>Đánh giá &amp; Phân loại truyện (Rating 1-5sao &amp; Review)</t>
  </si>
  <si>
    <t>Quản lý Báo Cáo lỗi</t>
  </si>
  <si>
    <t>Báo cáo lỗi chương truyện</t>
  </si>
  <si>
    <t>*US21</t>
  </si>
  <si>
    <t>*US23</t>
  </si>
  <si>
    <t>*US22</t>
  </si>
  <si>
    <t>*US24</t>
  </si>
  <si>
    <t>Sprint 2</t>
  </si>
  <si>
    <t>18/10/2026</t>
  </si>
  <si>
    <t>Đã render viewer đọc truyện</t>
  </si>
  <si>
    <t>Đã lưu vị trí chương đọc</t>
  </si>
  <si>
    <t>Đã làm tính năng bookmark</t>
  </si>
  <si>
    <t>Xem lịch sử mua gói/truyện</t>
  </si>
  <si>
    <t>CRUD chương &amp; upload nội dung</t>
  </si>
  <si>
    <t>Cấu hình giá từng truyện</t>
  </si>
  <si>
    <t>14/10/2026</t>
  </si>
  <si>
    <t>21/10/2026</t>
  </si>
  <si>
    <t>20/10/2026</t>
  </si>
  <si>
    <t>15/10/2026</t>
  </si>
  <si>
    <t>22/10/2026</t>
  </si>
  <si>
    <t xml:space="preserve"> Dev</t>
  </si>
  <si>
    <t>19/10/2026</t>
  </si>
  <si>
    <t>23/10/2026</t>
  </si>
  <si>
    <t>27/10/2026</t>
  </si>
  <si>
    <t>26/10/2026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</si>
</sst>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  <font>
      <sz val="10"/>
      <color rgb="FF081B3A"/>
      <name val="Arial"/>
      <family val="2"/>
    </font>
    <font>
      <b/>
      <sz val="10"/>
      <color rgb="FFC00000"/>
      <name val="Arial"/>
      <family val="2"/>
    </font>
    <font>
      <b/>
      <sz val="14"/>
      <color rgb="FFC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5" borderId="0" xfId="0" applyFill="1"/>
    <xf numFmtId="0" fontId="3" fillId="0" borderId="0" xfId="0" applyFont="1" applyAlignment="1">
      <alignment horizontal="center"/>
    </xf>
    <xf numFmtId="0" fontId="0" fillId="0" borderId="7" xfId="0" applyBorder="1" applyAlignment="1">
      <alignment horizontal="left"/>
    </xf>
    <xf numFmtId="0" fontId="2" fillId="2" borderId="3" xfId="0" applyFont="1" applyFill="1" applyBorder="1"/>
    <xf numFmtId="0" fontId="0" fillId="0" borderId="8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10" xfId="0" applyBorder="1"/>
    <xf numFmtId="0" fontId="0" fillId="2" borderId="11" xfId="0" applyFill="1" applyBorder="1"/>
    <xf numFmtId="0" fontId="0" fillId="0" borderId="12" xfId="0" applyBorder="1"/>
    <xf numFmtId="0" fontId="0" fillId="0" borderId="0" xfId="0" applyAlignment="1">
      <alignment horizontal="left"/>
    </xf>
    <xf numFmtId="0" fontId="2" fillId="6" borderId="5" xfId="0" applyFont="1" applyFill="1" applyBorder="1"/>
    <xf numFmtId="0" fontId="2" fillId="6" borderId="4" xfId="0" applyFont="1" applyFill="1" applyBorder="1"/>
    <xf numFmtId="0" fontId="2" fillId="6" borderId="9" xfId="0" applyFont="1" applyFill="1" applyBorder="1"/>
    <xf numFmtId="0" fontId="2" fillId="6" borderId="8" xfId="0" applyFont="1" applyFill="1" applyBorder="1"/>
    <xf numFmtId="15" fontId="0" fillId="0" borderId="8" xfId="0" applyNumberFormat="1" applyBorder="1"/>
    <xf numFmtId="0" fontId="4" fillId="4" borderId="8" xfId="0" applyFont="1" applyFill="1" applyBorder="1"/>
    <xf numFmtId="0" fontId="0" fillId="5" borderId="8" xfId="0" applyFill="1" applyBorder="1"/>
    <xf numFmtId="0" fontId="2" fillId="0" borderId="0" xfId="0" applyFont="1"/>
    <xf numFmtId="9" fontId="0" fillId="0" borderId="0" xfId="0" applyNumberFormat="1"/>
    <xf numFmtId="0" fontId="0" fillId="0" borderId="13" xfId="0" applyBorder="1"/>
    <xf numFmtId="0" fontId="0" fillId="0" borderId="12" xfId="0" applyBorder="1" applyAlignment="1">
      <alignment horizontal="center"/>
    </xf>
    <xf numFmtId="0" fontId="5" fillId="0" borderId="8" xfId="0" applyFont="1" applyBorder="1"/>
    <xf numFmtId="0" fontId="0" fillId="0" borderId="8" xfId="0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14" fontId="0" fillId="0" borderId="8" xfId="0" quotePrefix="1" applyNumberFormat="1" applyBorder="1"/>
    <xf numFmtId="0" fontId="0" fillId="0" borderId="20" xfId="0" applyBorder="1"/>
    <xf numFmtId="0" fontId="0" fillId="0" borderId="24" xfId="0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14" fontId="0" fillId="0" borderId="24" xfId="0" applyNumberForma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7" xfId="0" applyBorder="1"/>
    <xf numFmtId="0" fontId="0" fillId="0" borderId="0" xfId="0" applyAlignment="1">
      <alignment horizontal="center" vertical="center"/>
    </xf>
    <xf numFmtId="0" fontId="2" fillId="2" borderId="15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7" fillId="7" borderId="17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B050"/>
      <color rgb="FFCCFFCC"/>
      <color rgb="FFFFD9D9"/>
      <color rgb="FFFF6D6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47123</xdr:rowOff>
    </xdr:from>
    <xdr:to>
      <xdr:col>4</xdr:col>
      <xdr:colOff>525780</xdr:colOff>
      <xdr:row>24</xdr:row>
      <xdr:rowOff>67924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82A03F-E3B3-9ED4-7DC0-369DEB5E6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3170"/>
          <a:ext cx="7876839" cy="240541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9"/>
  <sheetViews>
    <sheetView workbookViewId="0">
      <selection activeCell="K15" sqref="K15"/>
    </sheetView>
  </sheetViews>
  <sheetFormatPr defaultColWidth="8.88671875" defaultRowHeight="13.2" x14ac:dyDescent="0.25"/>
  <sheetData>
    <row r="2" spans="1:12" x14ac:dyDescent="0.25">
      <c r="A2" s="22" t="s">
        <v>0</v>
      </c>
    </row>
    <row r="3" spans="1:12" x14ac:dyDescent="0.25">
      <c r="A3" s="22" t="s">
        <v>137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x14ac:dyDescent="0.25">
      <c r="A4" s="22" t="s">
        <v>138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x14ac:dyDescent="0.25">
      <c r="A5" s="22" t="s">
        <v>139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x14ac:dyDescent="0.25">
      <c r="A6" s="22" t="s">
        <v>140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x14ac:dyDescent="0.25">
      <c r="A7" s="34" t="s">
        <v>141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12" x14ac:dyDescent="0.25">
      <c r="A8" t="s">
        <v>142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1:12" x14ac:dyDescent="0.25">
      <c r="A9" t="s">
        <v>143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</row>
    <row r="10" spans="1:12" x14ac:dyDescent="0.25">
      <c r="A10" t="s">
        <v>144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spans="1:12" x14ac:dyDescent="0.25">
      <c r="A11" s="22" t="s">
        <v>145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2" x14ac:dyDescent="0.25">
      <c r="A12" t="s">
        <v>134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spans="1:12" x14ac:dyDescent="0.25">
      <c r="A13" t="s">
        <v>135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</row>
    <row r="14" spans="1:12" x14ac:dyDescent="0.25">
      <c r="A14" t="s">
        <v>136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</row>
    <row r="15" spans="1:12" x14ac:dyDescent="0.25">
      <c r="A15" t="s">
        <v>146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</row>
    <row r="16" spans="1:12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</row>
    <row r="17" spans="1:12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</row>
    <row r="18" spans="1:12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</row>
    <row r="19" spans="1:12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>
      <selection activeCell="E24" sqref="E24"/>
    </sheetView>
  </sheetViews>
  <sheetFormatPr defaultColWidth="8.88671875" defaultRowHeight="13.2" x14ac:dyDescent="0.25"/>
  <cols>
    <col min="1" max="1" width="4.21875" customWidth="1"/>
    <col min="2" max="2" width="23.33203125" bestFit="1" customWidth="1"/>
    <col min="3" max="3" width="20.44140625" customWidth="1"/>
    <col min="4" max="4" width="21.6640625" bestFit="1" customWidth="1"/>
    <col min="5" max="253" width="11.44140625" customWidth="1"/>
  </cols>
  <sheetData>
    <row r="1" spans="1:6" x14ac:dyDescent="0.25">
      <c r="A1" s="42" t="s">
        <v>1</v>
      </c>
      <c r="B1" s="42"/>
      <c r="C1" s="42"/>
      <c r="D1" s="42"/>
      <c r="E1" s="42"/>
      <c r="F1" s="42"/>
    </row>
    <row r="3" spans="1:6" x14ac:dyDescent="0.25">
      <c r="A3" s="20" t="s">
        <v>2</v>
      </c>
      <c r="B3" s="20" t="s">
        <v>3</v>
      </c>
      <c r="C3" s="20" t="s">
        <v>4</v>
      </c>
      <c r="D3" s="20" t="s">
        <v>5</v>
      </c>
      <c r="E3" s="20" t="s">
        <v>6</v>
      </c>
      <c r="F3" s="20" t="s">
        <v>7</v>
      </c>
    </row>
    <row r="4" spans="1:6" x14ac:dyDescent="0.25">
      <c r="A4" s="8">
        <v>1</v>
      </c>
      <c r="B4" s="8" t="s">
        <v>26</v>
      </c>
      <c r="C4" t="s">
        <v>32</v>
      </c>
      <c r="D4" s="8" t="s">
        <v>168</v>
      </c>
      <c r="E4" s="19" t="s">
        <v>132</v>
      </c>
      <c r="F4" s="29" t="s">
        <v>115</v>
      </c>
    </row>
    <row r="5" spans="1:6" x14ac:dyDescent="0.25">
      <c r="A5" s="8">
        <v>2</v>
      </c>
      <c r="B5" s="8" t="s">
        <v>21</v>
      </c>
      <c r="C5" s="8" t="s">
        <v>31</v>
      </c>
      <c r="D5" s="8" t="s">
        <v>133</v>
      </c>
      <c r="E5" s="19" t="s">
        <v>132</v>
      </c>
      <c r="F5" s="29" t="s">
        <v>115</v>
      </c>
    </row>
    <row r="6" spans="1:6" x14ac:dyDescent="0.25">
      <c r="A6" s="8">
        <v>3</v>
      </c>
      <c r="B6" s="8" t="s">
        <v>22</v>
      </c>
      <c r="C6" s="26" t="s">
        <v>25</v>
      </c>
      <c r="D6" s="8" t="s">
        <v>76</v>
      </c>
      <c r="E6" s="19" t="s">
        <v>132</v>
      </c>
      <c r="F6" s="29" t="s">
        <v>115</v>
      </c>
    </row>
    <row r="7" spans="1:6" x14ac:dyDescent="0.25">
      <c r="A7" s="8">
        <v>4</v>
      </c>
      <c r="B7" s="8" t="s">
        <v>23</v>
      </c>
      <c r="C7" s="26" t="s">
        <v>24</v>
      </c>
      <c r="D7" s="8" t="s">
        <v>76</v>
      </c>
      <c r="E7" s="19" t="s">
        <v>132</v>
      </c>
      <c r="F7" s="29" t="s">
        <v>115</v>
      </c>
    </row>
    <row r="8" spans="1:6" x14ac:dyDescent="0.25">
      <c r="A8" s="8">
        <v>5</v>
      </c>
      <c r="B8" s="8" t="s">
        <v>27</v>
      </c>
      <c r="C8" s="8" t="s">
        <v>28</v>
      </c>
      <c r="D8" s="8" t="s">
        <v>76</v>
      </c>
      <c r="E8" s="19" t="s">
        <v>132</v>
      </c>
      <c r="F8" s="29" t="s">
        <v>115</v>
      </c>
    </row>
    <row r="9" spans="1:6" s="4" customFormat="1" x14ac:dyDescent="0.25">
      <c r="A9" s="21">
        <v>6</v>
      </c>
      <c r="B9" s="21" t="s">
        <v>29</v>
      </c>
      <c r="C9" s="21" t="s">
        <v>30</v>
      </c>
      <c r="D9" s="21" t="s">
        <v>76</v>
      </c>
      <c r="E9" s="19" t="s">
        <v>132</v>
      </c>
      <c r="F9" s="29" t="s">
        <v>115</v>
      </c>
    </row>
    <row r="10" spans="1:6" s="4" customFormat="1" x14ac:dyDescent="0.25">
      <c r="A10" s="21"/>
      <c r="B10" s="21"/>
      <c r="C10" s="21"/>
      <c r="D10" s="21"/>
      <c r="E10" s="19"/>
      <c r="F10" s="21"/>
    </row>
  </sheetData>
  <mergeCells count="1">
    <mergeCell ref="A1:F1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zoomScaleNormal="100" workbookViewId="0">
      <pane ySplit="4" topLeftCell="A14" activePane="bottomLeft" state="frozen"/>
      <selection pane="bottomLeft" activeCell="H24" sqref="H24"/>
    </sheetView>
  </sheetViews>
  <sheetFormatPr defaultColWidth="8.88671875" defaultRowHeight="13.2" x14ac:dyDescent="0.25"/>
  <cols>
    <col min="1" max="1" width="10" bestFit="1" customWidth="1"/>
    <col min="2" max="2" width="67.21875" customWidth="1"/>
    <col min="3" max="3" width="6.109375" bestFit="1" customWidth="1"/>
  </cols>
  <sheetData>
    <row r="1" spans="1:7" ht="17.399999999999999" x14ac:dyDescent="0.3">
      <c r="B1" s="5" t="s">
        <v>8</v>
      </c>
    </row>
    <row r="2" spans="1:7" ht="13.8" thickBot="1" x14ac:dyDescent="0.3">
      <c r="A2" s="1"/>
      <c r="B2" s="10"/>
      <c r="C2" s="1"/>
    </row>
    <row r="3" spans="1:7" x14ac:dyDescent="0.25">
      <c r="A3" s="15" t="s">
        <v>9</v>
      </c>
      <c r="B3" s="16" t="s">
        <v>10</v>
      </c>
      <c r="C3" s="17" t="s">
        <v>11</v>
      </c>
    </row>
    <row r="4" spans="1:7" ht="13.8" thickBot="1" x14ac:dyDescent="0.3">
      <c r="A4" s="9"/>
      <c r="B4" s="1"/>
      <c r="C4" s="11"/>
    </row>
    <row r="5" spans="1:7" x14ac:dyDescent="0.25">
      <c r="A5" s="3"/>
      <c r="B5" s="37" t="s">
        <v>33</v>
      </c>
      <c r="C5" s="38"/>
    </row>
    <row r="6" spans="1:7" x14ac:dyDescent="0.25">
      <c r="A6" s="24" t="s">
        <v>34</v>
      </c>
      <c r="B6" t="s">
        <v>39</v>
      </c>
      <c r="C6" s="25">
        <v>2</v>
      </c>
    </row>
    <row r="7" spans="1:7" x14ac:dyDescent="0.25">
      <c r="A7" s="2" t="s">
        <v>35</v>
      </c>
      <c r="B7" t="s">
        <v>40</v>
      </c>
      <c r="C7" s="25">
        <v>3</v>
      </c>
      <c r="G7" s="23"/>
    </row>
    <row r="8" spans="1:7" x14ac:dyDescent="0.25">
      <c r="A8" t="s">
        <v>36</v>
      </c>
      <c r="B8" s="6" t="s">
        <v>41</v>
      </c>
      <c r="C8" s="25">
        <v>2</v>
      </c>
    </row>
    <row r="9" spans="1:7" x14ac:dyDescent="0.25">
      <c r="A9" t="s">
        <v>37</v>
      </c>
      <c r="B9" s="6" t="s">
        <v>42</v>
      </c>
      <c r="C9" s="25">
        <v>3</v>
      </c>
    </row>
    <row r="10" spans="1:7" x14ac:dyDescent="0.25">
      <c r="A10" t="s">
        <v>38</v>
      </c>
      <c r="B10" s="6" t="s">
        <v>43</v>
      </c>
      <c r="C10" s="25">
        <v>2</v>
      </c>
    </row>
    <row r="11" spans="1:7" x14ac:dyDescent="0.25">
      <c r="A11" s="2"/>
      <c r="B11" s="6"/>
      <c r="C11" s="13"/>
    </row>
    <row r="12" spans="1:7" x14ac:dyDescent="0.25">
      <c r="A12" s="2"/>
      <c r="B12" s="6"/>
      <c r="C12" s="13"/>
    </row>
    <row r="13" spans="1:7" x14ac:dyDescent="0.25">
      <c r="A13" s="39" t="s">
        <v>44</v>
      </c>
      <c r="B13" s="39"/>
      <c r="C13" s="39"/>
    </row>
    <row r="14" spans="1:7" x14ac:dyDescent="0.25">
      <c r="A14" s="2" t="s">
        <v>45</v>
      </c>
      <c r="B14" s="14" t="s">
        <v>52</v>
      </c>
      <c r="C14" s="25">
        <v>2</v>
      </c>
    </row>
    <row r="15" spans="1:7" x14ac:dyDescent="0.25">
      <c r="A15" s="2" t="s">
        <v>46</v>
      </c>
      <c r="B15" s="6" t="s">
        <v>53</v>
      </c>
      <c r="C15" s="25">
        <v>5</v>
      </c>
    </row>
    <row r="16" spans="1:7" x14ac:dyDescent="0.25">
      <c r="A16" s="2" t="s">
        <v>47</v>
      </c>
      <c r="B16" t="s">
        <v>54</v>
      </c>
      <c r="C16" s="25">
        <v>5</v>
      </c>
    </row>
    <row r="17" spans="1:7" x14ac:dyDescent="0.25">
      <c r="A17" s="2" t="s">
        <v>48</v>
      </c>
      <c r="B17" s="6" t="s">
        <v>55</v>
      </c>
      <c r="C17" s="25">
        <v>3</v>
      </c>
    </row>
    <row r="18" spans="1:7" x14ac:dyDescent="0.25">
      <c r="A18" s="2" t="s">
        <v>49</v>
      </c>
      <c r="B18" t="s">
        <v>56</v>
      </c>
      <c r="C18" s="25">
        <v>3</v>
      </c>
    </row>
    <row r="19" spans="1:7" x14ac:dyDescent="0.25">
      <c r="A19" s="2" t="s">
        <v>50</v>
      </c>
      <c r="B19" s="6" t="s">
        <v>57</v>
      </c>
      <c r="C19" s="25">
        <v>3</v>
      </c>
    </row>
    <row r="20" spans="1:7" x14ac:dyDescent="0.25">
      <c r="A20" s="2" t="s">
        <v>51</v>
      </c>
      <c r="B20" s="6" t="s">
        <v>58</v>
      </c>
      <c r="C20" s="25">
        <v>2</v>
      </c>
    </row>
    <row r="21" spans="1:7" x14ac:dyDescent="0.25">
      <c r="A21" s="2" t="s">
        <v>151</v>
      </c>
      <c r="B21" s="14" t="s">
        <v>148</v>
      </c>
      <c r="C21" s="25">
        <v>3</v>
      </c>
    </row>
    <row r="22" spans="1:7" x14ac:dyDescent="0.25">
      <c r="A22" s="2" t="s">
        <v>152</v>
      </c>
      <c r="B22" s="35" t="s">
        <v>150</v>
      </c>
      <c r="C22" s="13"/>
    </row>
    <row r="23" spans="1:7" x14ac:dyDescent="0.25">
      <c r="A23" s="40" t="s">
        <v>59</v>
      </c>
      <c r="B23" s="40"/>
      <c r="C23" s="41"/>
    </row>
    <row r="24" spans="1:7" x14ac:dyDescent="0.25">
      <c r="A24" s="2" t="s">
        <v>60</v>
      </c>
      <c r="B24" s="14" t="s">
        <v>68</v>
      </c>
      <c r="C24" s="25">
        <v>3</v>
      </c>
    </row>
    <row r="25" spans="1:7" x14ac:dyDescent="0.25">
      <c r="A25" s="2" t="s">
        <v>61</v>
      </c>
      <c r="B25" s="6" t="s">
        <v>69</v>
      </c>
      <c r="C25" s="25">
        <v>5</v>
      </c>
      <c r="G25" s="22"/>
    </row>
    <row r="26" spans="1:7" x14ac:dyDescent="0.25">
      <c r="A26" s="2" t="s">
        <v>62</v>
      </c>
      <c r="B26" s="6" t="s">
        <v>70</v>
      </c>
      <c r="C26" s="25">
        <v>3</v>
      </c>
    </row>
    <row r="27" spans="1:7" x14ac:dyDescent="0.25">
      <c r="A27" s="2" t="s">
        <v>63</v>
      </c>
      <c r="B27" s="14" t="s">
        <v>71</v>
      </c>
      <c r="C27" s="25">
        <v>3</v>
      </c>
    </row>
    <row r="28" spans="1:7" x14ac:dyDescent="0.25">
      <c r="A28" s="2" t="s">
        <v>64</v>
      </c>
      <c r="B28" s="14" t="s">
        <v>72</v>
      </c>
      <c r="C28" s="25">
        <v>3</v>
      </c>
    </row>
    <row r="29" spans="1:7" x14ac:dyDescent="0.25">
      <c r="A29" s="2" t="s">
        <v>65</v>
      </c>
      <c r="B29" s="14" t="s">
        <v>73</v>
      </c>
      <c r="C29" s="25">
        <v>3</v>
      </c>
    </row>
    <row r="30" spans="1:7" x14ac:dyDescent="0.25">
      <c r="A30" s="2" t="s">
        <v>66</v>
      </c>
      <c r="B30" s="14" t="s">
        <v>74</v>
      </c>
      <c r="C30" s="25">
        <v>3</v>
      </c>
    </row>
    <row r="31" spans="1:7" x14ac:dyDescent="0.25">
      <c r="A31" s="2" t="s">
        <v>67</v>
      </c>
      <c r="B31" s="14" t="s">
        <v>75</v>
      </c>
      <c r="C31" s="25">
        <v>5</v>
      </c>
      <c r="F31" s="22"/>
    </row>
    <row r="32" spans="1:7" x14ac:dyDescent="0.25">
      <c r="A32" s="2" t="s">
        <v>153</v>
      </c>
      <c r="B32" s="6" t="s">
        <v>147</v>
      </c>
      <c r="C32" s="25">
        <v>3</v>
      </c>
    </row>
    <row r="33" spans="1:3" x14ac:dyDescent="0.25">
      <c r="A33" s="2" t="s">
        <v>154</v>
      </c>
      <c r="B33" s="6" t="s">
        <v>149</v>
      </c>
      <c r="C33" s="25"/>
    </row>
    <row r="34" spans="1:3" x14ac:dyDescent="0.25">
      <c r="A34" s="2"/>
      <c r="B34" s="6"/>
      <c r="C34" s="25"/>
    </row>
    <row r="35" spans="1:3" x14ac:dyDescent="0.25">
      <c r="A35" s="3"/>
      <c r="B35" s="7"/>
      <c r="C35" s="12"/>
    </row>
    <row r="36" spans="1:3" x14ac:dyDescent="0.25">
      <c r="A36" s="2"/>
      <c r="B36" s="14"/>
      <c r="C36" s="13"/>
    </row>
    <row r="37" spans="1:3" x14ac:dyDescent="0.25">
      <c r="A37" s="2"/>
      <c r="B37" s="6"/>
      <c r="C37" s="13"/>
    </row>
    <row r="38" spans="1:3" x14ac:dyDescent="0.25">
      <c r="A38" s="2"/>
      <c r="B38" s="6"/>
      <c r="C38" s="13"/>
    </row>
    <row r="39" spans="1:3" x14ac:dyDescent="0.25">
      <c r="A39" s="2"/>
      <c r="B39" s="14"/>
      <c r="C39" s="13"/>
    </row>
    <row r="40" spans="1:3" x14ac:dyDescent="0.25">
      <c r="A40" s="2"/>
      <c r="B40" s="6"/>
      <c r="C40" s="13"/>
    </row>
    <row r="41" spans="1:3" x14ac:dyDescent="0.25">
      <c r="A41" s="3"/>
      <c r="B41" s="7"/>
      <c r="C41" s="12"/>
    </row>
    <row r="42" spans="1:3" x14ac:dyDescent="0.25">
      <c r="A42" s="2"/>
      <c r="B42" s="14"/>
      <c r="C42" s="13"/>
    </row>
  </sheetData>
  <mergeCells count="3">
    <mergeCell ref="B5:C5"/>
    <mergeCell ref="A13:C13"/>
    <mergeCell ref="A23:C23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tabSelected="1" zoomScaleNormal="100" workbookViewId="0">
      <pane ySplit="5" topLeftCell="A13" activePane="bottomLeft" state="frozen"/>
      <selection pane="bottomLeft" activeCell="M19" sqref="M19"/>
    </sheetView>
  </sheetViews>
  <sheetFormatPr defaultColWidth="8.88671875" defaultRowHeight="13.2" x14ac:dyDescent="0.25"/>
  <cols>
    <col min="1" max="1" width="10" bestFit="1" customWidth="1"/>
    <col min="2" max="2" width="29" customWidth="1"/>
    <col min="3" max="3" width="6.109375" bestFit="1" customWidth="1"/>
    <col min="4" max="4" width="12.88671875" bestFit="1" customWidth="1"/>
    <col min="5" max="5" width="15.6640625" customWidth="1"/>
    <col min="6" max="6" width="14.109375" customWidth="1"/>
    <col min="7" max="7" width="13.21875" customWidth="1"/>
    <col min="8" max="8" width="11.88671875" customWidth="1"/>
    <col min="9" max="9" width="10" bestFit="1" customWidth="1"/>
    <col min="10" max="10" width="17.33203125" customWidth="1"/>
  </cols>
  <sheetData>
    <row r="1" spans="1:10" ht="34.5" customHeight="1" x14ac:dyDescent="0.3">
      <c r="A1" s="44" t="s">
        <v>12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8" customHeight="1" x14ac:dyDescent="0.3">
      <c r="A2" s="5"/>
      <c r="B2" s="5"/>
      <c r="C2" s="5"/>
      <c r="D2" s="5"/>
      <c r="E2" s="5"/>
      <c r="F2" s="5"/>
      <c r="G2" s="5"/>
      <c r="H2" s="5"/>
    </row>
    <row r="3" spans="1:10" x14ac:dyDescent="0.25">
      <c r="B3" s="10"/>
      <c r="E3" s="42"/>
      <c r="F3" s="42"/>
      <c r="G3" s="42"/>
      <c r="H3" s="42"/>
    </row>
    <row r="4" spans="1:10" x14ac:dyDescent="0.25">
      <c r="A4" s="18" t="s">
        <v>9</v>
      </c>
      <c r="B4" s="18" t="s">
        <v>10</v>
      </c>
      <c r="C4" s="18" t="s">
        <v>11</v>
      </c>
      <c r="D4" s="18" t="s">
        <v>13</v>
      </c>
      <c r="E4" s="18" t="s">
        <v>14</v>
      </c>
      <c r="F4" s="18" t="s">
        <v>15</v>
      </c>
      <c r="G4" s="18" t="s">
        <v>16</v>
      </c>
      <c r="H4" s="18" t="s">
        <v>17</v>
      </c>
      <c r="I4" s="18" t="s">
        <v>18</v>
      </c>
      <c r="J4" s="18" t="s">
        <v>19</v>
      </c>
    </row>
    <row r="5" spans="1:10" ht="13.8" thickBot="1" x14ac:dyDescent="0.3">
      <c r="A5" s="30"/>
      <c r="B5" s="30"/>
      <c r="C5" s="30"/>
      <c r="D5" s="30"/>
      <c r="E5" s="30"/>
      <c r="F5" s="30"/>
      <c r="G5" s="30"/>
      <c r="H5" s="30"/>
      <c r="I5" s="30"/>
      <c r="J5" s="30"/>
    </row>
    <row r="6" spans="1:10" ht="13.8" thickBot="1" x14ac:dyDescent="0.3">
      <c r="A6" s="45" t="s">
        <v>20</v>
      </c>
      <c r="B6" s="46"/>
      <c r="C6" s="46"/>
      <c r="D6" s="46"/>
      <c r="E6" s="46"/>
      <c r="F6" s="46"/>
      <c r="G6" s="46"/>
      <c r="H6" s="46"/>
      <c r="I6" s="46"/>
      <c r="J6" s="47"/>
    </row>
    <row r="7" spans="1:10" ht="27" thickBot="1" x14ac:dyDescent="0.3">
      <c r="A7" s="32" t="s">
        <v>34</v>
      </c>
      <c r="B7" s="31" t="s">
        <v>39</v>
      </c>
      <c r="C7" s="31">
        <v>2</v>
      </c>
      <c r="D7" s="31" t="s">
        <v>78</v>
      </c>
      <c r="E7" s="33" t="s">
        <v>132</v>
      </c>
      <c r="F7" s="33">
        <v>46152</v>
      </c>
      <c r="G7" s="33" t="s">
        <v>132</v>
      </c>
      <c r="H7" s="33">
        <v>46122</v>
      </c>
      <c r="I7" s="31">
        <v>2</v>
      </c>
      <c r="J7" s="31" t="s">
        <v>116</v>
      </c>
    </row>
    <row r="8" spans="1:10" ht="27" thickBot="1" x14ac:dyDescent="0.3">
      <c r="A8" s="32" t="s">
        <v>35</v>
      </c>
      <c r="B8" s="31" t="s">
        <v>40</v>
      </c>
      <c r="C8" s="31">
        <v>3</v>
      </c>
      <c r="D8" s="31" t="s">
        <v>79</v>
      </c>
      <c r="E8" s="33">
        <v>46091</v>
      </c>
      <c r="F8" s="33">
        <v>46305</v>
      </c>
      <c r="G8" s="33">
        <v>46063</v>
      </c>
      <c r="H8" s="33">
        <v>46305</v>
      </c>
      <c r="I8" s="31">
        <v>3</v>
      </c>
      <c r="J8" s="31" t="s">
        <v>117</v>
      </c>
    </row>
    <row r="9" spans="1:10" ht="13.8" thickBot="1" x14ac:dyDescent="0.3">
      <c r="A9" s="32" t="s">
        <v>36</v>
      </c>
      <c r="B9" s="31" t="s">
        <v>41</v>
      </c>
      <c r="C9" s="31">
        <v>2</v>
      </c>
      <c r="D9" s="31" t="s">
        <v>80</v>
      </c>
      <c r="E9" s="33">
        <v>46091</v>
      </c>
      <c r="F9" s="33">
        <v>46275</v>
      </c>
      <c r="G9" s="33">
        <v>46091</v>
      </c>
      <c r="H9" s="33">
        <v>46275</v>
      </c>
      <c r="I9" s="31">
        <v>2</v>
      </c>
      <c r="J9" s="31" t="s">
        <v>118</v>
      </c>
    </row>
    <row r="10" spans="1:10" ht="21.6" customHeight="1" thickBot="1" x14ac:dyDescent="0.3">
      <c r="A10" s="32" t="s">
        <v>38</v>
      </c>
      <c r="B10" s="31" t="s">
        <v>43</v>
      </c>
      <c r="C10" s="31">
        <v>2</v>
      </c>
      <c r="D10" s="31" t="s">
        <v>81</v>
      </c>
      <c r="E10" s="33" t="s">
        <v>132</v>
      </c>
      <c r="F10" s="33">
        <v>46122</v>
      </c>
      <c r="G10" s="33" t="s">
        <v>132</v>
      </c>
      <c r="H10" s="33">
        <v>46122</v>
      </c>
      <c r="I10" s="31">
        <v>2</v>
      </c>
      <c r="J10" s="31" t="s">
        <v>119</v>
      </c>
    </row>
    <row r="11" spans="1:10" ht="27" thickBot="1" x14ac:dyDescent="0.3">
      <c r="A11" s="32" t="s">
        <v>45</v>
      </c>
      <c r="B11" s="31" t="s">
        <v>52</v>
      </c>
      <c r="C11" s="31">
        <v>2</v>
      </c>
      <c r="D11" s="31" t="s">
        <v>83</v>
      </c>
      <c r="E11" s="33" t="s">
        <v>132</v>
      </c>
      <c r="F11" s="33">
        <v>46152</v>
      </c>
      <c r="G11" s="33" t="s">
        <v>132</v>
      </c>
      <c r="H11" s="33">
        <v>46152</v>
      </c>
      <c r="I11" s="31">
        <v>2</v>
      </c>
      <c r="J11" s="31" t="s">
        <v>120</v>
      </c>
    </row>
    <row r="12" spans="1:10" ht="27" thickBot="1" x14ac:dyDescent="0.3">
      <c r="A12" s="32" t="s">
        <v>60</v>
      </c>
      <c r="B12" s="31" t="s">
        <v>77</v>
      </c>
      <c r="C12" s="31">
        <v>3</v>
      </c>
      <c r="D12" s="31" t="s">
        <v>82</v>
      </c>
      <c r="E12" s="33" t="s">
        <v>132</v>
      </c>
      <c r="F12" s="33">
        <v>46336</v>
      </c>
      <c r="G12" s="33" t="s">
        <v>132</v>
      </c>
      <c r="H12" s="33">
        <v>46305</v>
      </c>
      <c r="I12" s="31">
        <v>3</v>
      </c>
      <c r="J12" s="31" t="s">
        <v>121</v>
      </c>
    </row>
    <row r="13" spans="1:10" ht="13.8" thickBot="1" x14ac:dyDescent="0.3">
      <c r="A13" s="32" t="s">
        <v>122</v>
      </c>
      <c r="B13" s="31"/>
      <c r="C13" s="32">
        <v>14</v>
      </c>
      <c r="D13" s="31"/>
      <c r="E13" s="31"/>
      <c r="F13" s="31"/>
      <c r="G13" s="31"/>
      <c r="H13" s="31"/>
      <c r="I13" s="32">
        <v>14</v>
      </c>
      <c r="J13" s="31"/>
    </row>
    <row r="14" spans="1:10" ht="13.8" thickBot="1" x14ac:dyDescent="0.3">
      <c r="A14" s="43" t="s">
        <v>155</v>
      </c>
      <c r="B14" s="43"/>
      <c r="C14" s="43"/>
      <c r="D14" s="43"/>
      <c r="E14" s="43"/>
      <c r="F14" s="43"/>
      <c r="G14" s="43"/>
      <c r="H14" s="43"/>
      <c r="I14" s="43"/>
      <c r="J14" s="43"/>
    </row>
    <row r="15" spans="1:10" ht="27" thickBot="1" x14ac:dyDescent="0.3">
      <c r="A15" s="32" t="s">
        <v>37</v>
      </c>
      <c r="B15" s="31" t="s">
        <v>42</v>
      </c>
      <c r="C15" s="31">
        <v>3</v>
      </c>
      <c r="D15" s="31" t="s">
        <v>78</v>
      </c>
      <c r="E15" s="33">
        <v>46366</v>
      </c>
      <c r="F15" s="33" t="s">
        <v>165</v>
      </c>
      <c r="G15" s="33">
        <v>46366</v>
      </c>
      <c r="H15" s="33" t="s">
        <v>169</v>
      </c>
      <c r="I15" s="31">
        <v>3</v>
      </c>
      <c r="J15" s="31" t="s">
        <v>157</v>
      </c>
    </row>
    <row r="16" spans="1:10" ht="27" thickBot="1" x14ac:dyDescent="0.3">
      <c r="A16" s="32" t="s">
        <v>48</v>
      </c>
      <c r="B16" s="31" t="s">
        <v>55</v>
      </c>
      <c r="C16" s="31">
        <v>3</v>
      </c>
      <c r="D16" s="31" t="s">
        <v>81</v>
      </c>
      <c r="E16" s="33" t="s">
        <v>163</v>
      </c>
      <c r="F16" s="33" t="s">
        <v>167</v>
      </c>
      <c r="G16" s="36" t="s">
        <v>163</v>
      </c>
      <c r="H16" s="36" t="s">
        <v>164</v>
      </c>
      <c r="I16" s="31">
        <v>3</v>
      </c>
      <c r="J16" s="31" t="s">
        <v>158</v>
      </c>
    </row>
    <row r="17" spans="1:10" ht="27" thickBot="1" x14ac:dyDescent="0.3">
      <c r="A17" s="32" t="s">
        <v>49</v>
      </c>
      <c r="B17" s="31" t="s">
        <v>56</v>
      </c>
      <c r="C17" s="31">
        <v>3</v>
      </c>
      <c r="D17" s="31" t="s">
        <v>80</v>
      </c>
      <c r="E17" s="33" t="s">
        <v>166</v>
      </c>
      <c r="F17" s="36" t="s">
        <v>170</v>
      </c>
      <c r="G17" s="33" t="s">
        <v>166</v>
      </c>
      <c r="H17" s="33" t="s">
        <v>167</v>
      </c>
      <c r="I17" s="31">
        <v>3</v>
      </c>
      <c r="J17" s="31" t="s">
        <v>159</v>
      </c>
    </row>
    <row r="18" spans="1:10" ht="27" thickBot="1" x14ac:dyDescent="0.3">
      <c r="A18" s="32" t="s">
        <v>51</v>
      </c>
      <c r="B18" s="31" t="s">
        <v>58</v>
      </c>
      <c r="C18" s="31">
        <v>2</v>
      </c>
      <c r="D18" s="31" t="s">
        <v>79</v>
      </c>
      <c r="E18" s="33">
        <v>46366</v>
      </c>
      <c r="F18" s="33" t="s">
        <v>165</v>
      </c>
      <c r="G18" s="33">
        <v>46366</v>
      </c>
      <c r="H18" s="33" t="s">
        <v>169</v>
      </c>
      <c r="I18" s="31">
        <v>2</v>
      </c>
      <c r="J18" s="31" t="s">
        <v>160</v>
      </c>
    </row>
    <row r="19" spans="1:10" ht="27" thickBot="1" x14ac:dyDescent="0.3">
      <c r="A19" s="32" t="s">
        <v>61</v>
      </c>
      <c r="B19" s="31" t="s">
        <v>69</v>
      </c>
      <c r="C19" s="31">
        <v>5</v>
      </c>
      <c r="D19" s="31" t="s">
        <v>83</v>
      </c>
      <c r="E19" s="33">
        <v>46366</v>
      </c>
      <c r="F19" s="33" t="s">
        <v>171</v>
      </c>
      <c r="G19" s="33">
        <v>46366</v>
      </c>
      <c r="H19" s="33" t="s">
        <v>172</v>
      </c>
      <c r="I19" s="31">
        <v>5</v>
      </c>
      <c r="J19" s="31" t="s">
        <v>161</v>
      </c>
    </row>
    <row r="20" spans="1:10" ht="27" thickBot="1" x14ac:dyDescent="0.3">
      <c r="A20" s="32" t="s">
        <v>62</v>
      </c>
      <c r="B20" s="31" t="s">
        <v>70</v>
      </c>
      <c r="C20" s="31">
        <v>3</v>
      </c>
      <c r="D20" s="31" t="s">
        <v>82</v>
      </c>
      <c r="E20" s="33" t="s">
        <v>156</v>
      </c>
      <c r="F20" s="33" t="s">
        <v>171</v>
      </c>
      <c r="G20" s="33" t="s">
        <v>156</v>
      </c>
      <c r="H20" s="33" t="s">
        <v>172</v>
      </c>
      <c r="I20" s="31">
        <v>3</v>
      </c>
      <c r="J20" s="31" t="s">
        <v>162</v>
      </c>
    </row>
    <row r="21" spans="1:10" ht="13.8" thickBot="1" x14ac:dyDescent="0.3">
      <c r="A21" s="32" t="s">
        <v>122</v>
      </c>
      <c r="B21" s="31"/>
      <c r="C21" s="32">
        <f>SUM(C15:C20)</f>
        <v>19</v>
      </c>
      <c r="D21" s="31"/>
      <c r="E21" s="31"/>
      <c r="F21" s="31"/>
      <c r="G21" s="31"/>
      <c r="H21" s="31"/>
      <c r="I21" s="32">
        <v>19</v>
      </c>
      <c r="J21" s="31"/>
    </row>
  </sheetData>
  <mergeCells count="5">
    <mergeCell ref="A14:J14"/>
    <mergeCell ref="A1:J1"/>
    <mergeCell ref="E3:F3"/>
    <mergeCell ref="G3:H3"/>
    <mergeCell ref="A6:J6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8CC48-3DF3-4D01-B237-0BC9A18A869E}">
  <dimension ref="A1:D32"/>
  <sheetViews>
    <sheetView topLeftCell="A6" zoomScale="85" zoomScaleNormal="85" workbookViewId="0">
      <selection activeCell="K16" sqref="K16"/>
    </sheetView>
  </sheetViews>
  <sheetFormatPr defaultRowHeight="13.2" x14ac:dyDescent="0.25"/>
  <cols>
    <col min="1" max="1" width="13.33203125" customWidth="1"/>
    <col min="2" max="2" width="37.109375" bestFit="1" customWidth="1"/>
    <col min="3" max="3" width="27.44140625" customWidth="1"/>
    <col min="4" max="4" width="29.21875" customWidth="1"/>
  </cols>
  <sheetData>
    <row r="1" spans="1:4" ht="18" thickBot="1" x14ac:dyDescent="0.35">
      <c r="A1" s="48" t="s">
        <v>84</v>
      </c>
      <c r="B1" s="49"/>
      <c r="C1" s="49"/>
      <c r="D1" s="50"/>
    </row>
    <row r="2" spans="1:4" x14ac:dyDescent="0.25">
      <c r="A2" s="28" t="s">
        <v>85</v>
      </c>
      <c r="B2" s="28" t="s">
        <v>88</v>
      </c>
      <c r="C2" s="28" t="s">
        <v>87</v>
      </c>
      <c r="D2" s="28" t="s">
        <v>86</v>
      </c>
    </row>
    <row r="3" spans="1:4" x14ac:dyDescent="0.25">
      <c r="A3" s="27" t="s">
        <v>89</v>
      </c>
      <c r="B3" s="8" t="s">
        <v>97</v>
      </c>
      <c r="C3" s="27" t="s">
        <v>107</v>
      </c>
      <c r="D3" s="8" t="s">
        <v>123</v>
      </c>
    </row>
    <row r="4" spans="1:4" x14ac:dyDescent="0.25">
      <c r="A4" s="27" t="s">
        <v>90</v>
      </c>
      <c r="B4" s="8" t="s">
        <v>98</v>
      </c>
      <c r="C4" s="27" t="s">
        <v>89</v>
      </c>
      <c r="D4" t="s">
        <v>124</v>
      </c>
    </row>
    <row r="5" spans="1:4" x14ac:dyDescent="0.25">
      <c r="A5" s="27" t="s">
        <v>91</v>
      </c>
      <c r="B5" s="8" t="s">
        <v>99</v>
      </c>
      <c r="C5" s="27" t="s">
        <v>89</v>
      </c>
      <c r="D5" s="8" t="s">
        <v>123</v>
      </c>
    </row>
    <row r="6" spans="1:4" x14ac:dyDescent="0.25">
      <c r="A6" s="27" t="s">
        <v>92</v>
      </c>
      <c r="B6" s="8" t="s">
        <v>100</v>
      </c>
      <c r="C6" s="27" t="s">
        <v>90</v>
      </c>
      <c r="D6" s="8" t="s">
        <v>125</v>
      </c>
    </row>
    <row r="7" spans="1:4" x14ac:dyDescent="0.25">
      <c r="A7" s="27" t="s">
        <v>93</v>
      </c>
      <c r="B7" s="8" t="s">
        <v>101</v>
      </c>
      <c r="C7" s="27" t="s">
        <v>105</v>
      </c>
      <c r="D7" s="8" t="s">
        <v>126</v>
      </c>
    </row>
    <row r="8" spans="1:4" x14ac:dyDescent="0.25">
      <c r="A8" s="27" t="s">
        <v>94</v>
      </c>
      <c r="B8" s="8" t="s">
        <v>102</v>
      </c>
      <c r="C8" s="27" t="s">
        <v>106</v>
      </c>
      <c r="D8" s="8" t="s">
        <v>124</v>
      </c>
    </row>
    <row r="9" spans="1:4" x14ac:dyDescent="0.25">
      <c r="A9" s="27" t="s">
        <v>95</v>
      </c>
      <c r="B9" s="8" t="s">
        <v>103</v>
      </c>
      <c r="C9" s="27" t="s">
        <v>94</v>
      </c>
      <c r="D9" s="8" t="s">
        <v>127</v>
      </c>
    </row>
    <row r="10" spans="1:4" x14ac:dyDescent="0.25">
      <c r="A10" s="27" t="s">
        <v>96</v>
      </c>
      <c r="B10" s="8" t="s">
        <v>104</v>
      </c>
      <c r="C10" s="27" t="s">
        <v>95</v>
      </c>
      <c r="D10" s="8" t="s">
        <v>128</v>
      </c>
    </row>
    <row r="26" spans="1:2" x14ac:dyDescent="0.25">
      <c r="A26" t="s">
        <v>108</v>
      </c>
      <c r="B26" t="s">
        <v>109</v>
      </c>
    </row>
    <row r="27" spans="1:2" x14ac:dyDescent="0.25">
      <c r="A27" t="s">
        <v>110</v>
      </c>
      <c r="B27" t="s">
        <v>129</v>
      </c>
    </row>
    <row r="28" spans="1:2" x14ac:dyDescent="0.25">
      <c r="B28" t="s">
        <v>112</v>
      </c>
    </row>
    <row r="29" spans="1:2" x14ac:dyDescent="0.25">
      <c r="A29" t="s">
        <v>111</v>
      </c>
      <c r="B29" t="s">
        <v>113</v>
      </c>
    </row>
    <row r="30" spans="1:2" x14ac:dyDescent="0.25">
      <c r="B30" t="s">
        <v>131</v>
      </c>
    </row>
    <row r="31" spans="1:2" x14ac:dyDescent="0.25">
      <c r="A31" t="s">
        <v>130</v>
      </c>
    </row>
    <row r="32" spans="1:2" x14ac:dyDescent="0.25">
      <c r="A32" t="s">
        <v>114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Information</vt:lpstr>
      <vt:lpstr>Team</vt:lpstr>
      <vt:lpstr>Product backlog</vt:lpstr>
      <vt:lpstr>Sprint backlog</vt:lpstr>
      <vt:lpstr>PERT </vt:lpstr>
    </vt:vector>
  </TitlesOfParts>
  <Manager/>
  <Company>Nokia Oyj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BRMS Product Backlog</dc:title>
  <dc:subject/>
  <dc:creator>Le Hong Vu (Softech)</dc:creator>
  <cp:keywords>DNG67, BRMS</cp:keywords>
  <dc:description/>
  <cp:lastModifiedBy>An Đặng</cp:lastModifiedBy>
  <cp:revision/>
  <dcterms:created xsi:type="dcterms:W3CDTF">2007-09-27T18:30:44Z</dcterms:created>
  <dcterms:modified xsi:type="dcterms:W3CDTF">2026-10-22T04:38:01Z</dcterms:modified>
  <cp:category>DNG67</cp:category>
  <cp:contentStatus/>
</cp:coreProperties>
</file>